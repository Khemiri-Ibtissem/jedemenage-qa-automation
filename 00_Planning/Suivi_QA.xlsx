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ivi" sheetId="1" state="visible" r:id="rId1"/>
    <sheet xmlns:r="http://schemas.openxmlformats.org/officeDocument/2006/relationships" name="Anomali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4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7D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9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9" fontId="8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9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0" min="1" max="1"/>
    <col width="11" customWidth="1" style="10" min="2" max="2"/>
    <col width="7" customWidth="1" style="10" min="3" max="4"/>
    <col width="8" customWidth="1" style="10" min="5" max="5"/>
    <col width="11" customWidth="1" style="10" min="6" max="6"/>
    <col width="12" customWidth="1" style="10" min="7" max="8"/>
    <col width="14" customWidth="1" style="10" min="9" max="9"/>
    <col width="12" customWidth="1" style="10" min="10" max="10"/>
    <col width="16" customWidth="1" style="10" min="11" max="11"/>
  </cols>
  <sheetData>
    <row r="1" ht="17.35" customHeight="1" s="11">
      <c r="A1" s="12" t="inlineStr">
        <is>
          <t>Suivi d'avancement QA — JeDemenage</t>
        </is>
      </c>
    </row>
    <row r="2" ht="15" customHeight="1" s="11">
      <c r="A2" s="13" t="inlineStr">
        <is>
          <t>Mis à jour le 10/10/2026. Manuel : à remplir après chaque exécution (OK / KO / Bloqué). UI auto = nombre de tests Playwright du CT.</t>
        </is>
      </c>
    </row>
    <row r="4" ht="23.85" customHeight="1" s="11">
      <c r="A4" s="14" t="inlineStr">
        <is>
          <t>Cas de test</t>
        </is>
      </c>
      <c r="B4" s="14" t="inlineStr">
        <is>
          <t>Scénarios prévus</t>
        </is>
      </c>
      <c r="C4" s="14" t="inlineStr">
        <is>
          <t>OK</t>
        </is>
      </c>
      <c r="D4" s="14" t="inlineStr">
        <is>
          <t>KO</t>
        </is>
      </c>
      <c r="E4" s="14" t="inlineStr">
        <is>
          <t>Bloqué</t>
        </is>
      </c>
      <c r="F4" s="14" t="inlineStr">
        <is>
          <t>Non exécuté</t>
        </is>
      </c>
      <c r="G4" s="14" t="inlineStr">
        <is>
          <t>Avancement</t>
        </is>
      </c>
      <c r="H4" s="14" t="inlineStr">
        <is>
          <t>Taux de réussite</t>
        </is>
      </c>
      <c r="I4" s="14" t="inlineStr">
        <is>
          <t>UI auto (Playwright)</t>
        </is>
      </c>
      <c r="J4" s="14" t="inlineStr">
        <is>
          <t>API (Postman)</t>
        </is>
      </c>
      <c r="K4" s="14" t="inlineStr">
        <is>
          <t>Statut</t>
        </is>
      </c>
    </row>
    <row r="5" ht="15" customHeight="1" s="11">
      <c r="A5" s="15" t="inlineStr">
        <is>
          <t>CT-01 Page d'accueil</t>
        </is>
      </c>
      <c r="B5" s="16" t="n">
        <v>11</v>
      </c>
      <c r="C5" s="16" t="n">
        <v>0</v>
      </c>
      <c r="D5" s="16" t="n">
        <v>0</v>
      </c>
      <c r="E5" s="16" t="n">
        <v>0</v>
      </c>
      <c r="F5" s="16" t="n">
        <v>11</v>
      </c>
      <c r="G5" s="17">
        <f>IF(OR(B5="",B5=0),"",(C5+D5+E5)/B5)</f>
        <v/>
      </c>
      <c r="H5" s="17">
        <f>IF((C5+D5)=0,"",C5/(C5+D5))</f>
        <v/>
      </c>
      <c r="I5" s="16" t="n">
        <v>9</v>
      </c>
      <c r="J5" s="16" t="n">
        <v>0</v>
      </c>
      <c r="K5" s="16" t="inlineStr">
        <is>
          <t>Manuel à faire · auto en place</t>
        </is>
      </c>
    </row>
    <row r="6" ht="15" customHeight="1" s="11">
      <c r="A6" s="15" t="inlineStr">
        <is>
          <t>CT-02 Inscription</t>
        </is>
      </c>
      <c r="B6" s="16" t="n">
        <v>15</v>
      </c>
      <c r="C6" s="16" t="n">
        <v>0</v>
      </c>
      <c r="D6" s="16" t="n">
        <v>0</v>
      </c>
      <c r="E6" s="16" t="n">
        <v>0</v>
      </c>
      <c r="F6" s="16" t="n">
        <v>15</v>
      </c>
      <c r="G6" s="17">
        <f>IF(OR(B6="",B6=0),"",(C6+D6+E6)/B6)</f>
        <v/>
      </c>
      <c r="H6" s="17">
        <f>IF((C6+D6)=0,"",C6/(C6+D6))</f>
        <v/>
      </c>
      <c r="I6" s="16" t="n">
        <v>14</v>
      </c>
      <c r="J6" s="16" t="n">
        <v>0</v>
      </c>
      <c r="K6" s="16" t="inlineStr">
        <is>
          <t>Manuel à faire · auto en place</t>
        </is>
      </c>
    </row>
    <row r="7" ht="23.85" customHeight="1" s="11">
      <c r="A7" s="15" t="inlineStr">
        <is>
          <t>CT-03 Connexion</t>
        </is>
      </c>
      <c r="B7" s="16" t="n">
        <v>17</v>
      </c>
      <c r="C7" s="16" t="n">
        <v>0</v>
      </c>
      <c r="D7" s="16" t="n">
        <v>0</v>
      </c>
      <c r="E7" s="16" t="n">
        <v>0</v>
      </c>
      <c r="F7" s="16" t="n">
        <v>17</v>
      </c>
      <c r="G7" s="17">
        <f>IF(OR(B7="",B7=0),"",(C7+D7+E7)/B7)</f>
        <v/>
      </c>
      <c r="H7" s="17">
        <f>IF((C7+D7)=0,"",C7/(C7+D7))</f>
        <v/>
      </c>
      <c r="I7" s="16" t="n">
        <v>15</v>
      </c>
      <c r="J7" s="16" t="n">
        <v>0</v>
      </c>
      <c r="K7" s="16" t="inlineStr">
        <is>
          <t>Manuel à faire · auto en place</t>
        </is>
      </c>
    </row>
    <row r="8" ht="15" customHeight="1" s="11">
      <c r="A8" s="15" t="inlineStr">
        <is>
          <t>CT-04 Demande de déménagement</t>
        </is>
      </c>
      <c r="B8" s="16" t="n">
        <v>16</v>
      </c>
      <c r="C8" s="16" t="n">
        <v>0</v>
      </c>
      <c r="D8" s="16" t="n">
        <v>0</v>
      </c>
      <c r="E8" s="16" t="n">
        <v>0</v>
      </c>
      <c r="F8" s="16" t="n">
        <v>16</v>
      </c>
      <c r="G8" s="17">
        <f>IF(OR(B8="",B8=0),"",(C8+D8+E8)/B8)</f>
        <v/>
      </c>
      <c r="H8" s="17">
        <f>IF((C8+D8)=0,"",C8/(C8+D8))</f>
        <v/>
      </c>
      <c r="I8" s="16" t="n">
        <v>14</v>
      </c>
      <c r="J8" s="16" t="n">
        <v>0</v>
      </c>
      <c r="K8" s="16" t="inlineStr">
        <is>
          <t>Manuel à faire · auto en place</t>
        </is>
      </c>
    </row>
    <row r="9" ht="15" customHeight="1" s="11">
      <c r="A9" s="15" t="inlineStr">
        <is>
          <t>CT-05 Offres</t>
        </is>
      </c>
      <c r="B9" s="16" t="n">
        <v>12</v>
      </c>
      <c r="C9" s="16" t="n">
        <v>0</v>
      </c>
      <c r="D9" s="16" t="n">
        <v>0</v>
      </c>
      <c r="E9" s="16" t="n">
        <v>0</v>
      </c>
      <c r="F9" s="16" t="n">
        <v>12</v>
      </c>
      <c r="G9" s="17">
        <f>IF(OR(B9="",B9=0),"",(C9+D9+E9)/B9)</f>
        <v/>
      </c>
      <c r="H9" s="17">
        <f>IF((C9+D9)=0,"",C9/(C9+D9))</f>
        <v/>
      </c>
      <c r="I9" s="16" t="n">
        <v>11</v>
      </c>
      <c r="J9" s="16" t="n">
        <v>0</v>
      </c>
      <c r="K9" s="16" t="inlineStr">
        <is>
          <t>Manuel à faire · auto en place</t>
        </is>
      </c>
    </row>
    <row r="10" ht="15" customHeight="1" s="11">
      <c r="A10" s="15" t="inlineStr">
        <is>
          <t>CT-06 Suivi, clôture et évaluation</t>
        </is>
      </c>
      <c r="B10" s="16" t="n">
        <v>13</v>
      </c>
      <c r="C10" s="16" t="n">
        <v>0</v>
      </c>
      <c r="D10" s="16" t="n">
        <v>0</v>
      </c>
      <c r="E10" s="16" t="n">
        <v>0</v>
      </c>
      <c r="F10" s="16" t="n">
        <v>13</v>
      </c>
      <c r="G10" s="17">
        <f>IF(OR(B10="",B10=0),"",(C10+D10+E10)/B10)</f>
        <v/>
      </c>
      <c r="H10" s="17">
        <f>IF((C10+D10)=0,"",C10/(C10+D10))</f>
        <v/>
      </c>
      <c r="I10" s="16" t="n">
        <v>12</v>
      </c>
      <c r="J10" s="16" t="n">
        <v>0</v>
      </c>
      <c r="K10" s="16" t="inlineStr">
        <is>
          <t>Manuel à faire · auto en place</t>
        </is>
      </c>
    </row>
    <row r="11">
      <c r="A11" s="15" t="inlineStr">
        <is>
          <t>CT-07 Contrôle d'accès</t>
        </is>
      </c>
      <c r="B11" s="16" t="n">
        <v>12</v>
      </c>
      <c r="C11" s="16" t="n">
        <v>0</v>
      </c>
      <c r="D11" s="16" t="n">
        <v>0</v>
      </c>
      <c r="E11" s="16" t="n">
        <v>0</v>
      </c>
      <c r="F11" s="16" t="n">
        <v>12</v>
      </c>
      <c r="G11" s="17">
        <f>IF(OR(B11="",B11=0),"",(C11+D11+E11)/B11)</f>
        <v/>
      </c>
      <c r="H11" s="17">
        <f>IF((C11+D11)=0,"",C11/(C11+D11))</f>
        <v/>
      </c>
      <c r="I11" s="16" t="n">
        <v>11</v>
      </c>
      <c r="J11" s="16" t="n">
        <v>0</v>
      </c>
      <c r="K11" s="16" t="inlineStr">
        <is>
          <t>Manuel à faire · auto en place</t>
        </is>
      </c>
    </row>
    <row r="12">
      <c r="A12" s="15" t="inlineStr">
        <is>
          <t>CT-08 Administration</t>
        </is>
      </c>
      <c r="B12" s="16" t="n">
        <v>6</v>
      </c>
      <c r="C12" s="16" t="n">
        <v>0</v>
      </c>
      <c r="D12" s="16" t="n">
        <v>0</v>
      </c>
      <c r="E12" s="16" t="n">
        <v>0</v>
      </c>
      <c r="F12" s="16" t="n">
        <v>6</v>
      </c>
      <c r="G12" s="17">
        <f>IF(OR(B12="",B12=0),"",(C12+D12+E12)/B12)</f>
        <v/>
      </c>
      <c r="H12" s="17">
        <f>IF((C12+D12)=0,"",C12/(C12+D12))</f>
        <v/>
      </c>
      <c r="I12" s="16" t="n">
        <v>5</v>
      </c>
      <c r="J12" s="16" t="n">
        <v>0</v>
      </c>
      <c r="K12" s="16" t="inlineStr">
        <is>
          <t>Manuel à faire · auto en place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0" min="1" max="1"/>
    <col width="52" customWidth="1" style="10" min="2" max="2"/>
    <col width="12" customWidth="1" style="10" min="3" max="3"/>
    <col width="14" customWidth="1" style="10" min="4" max="4"/>
    <col width="11" customWidth="1" style="10" min="5" max="5"/>
    <col width="10" customWidth="1" style="10" min="6" max="6"/>
    <col width="13" customWidth="1" style="10" min="7" max="7"/>
    <col width="11" customWidth="1" style="10" min="8" max="8"/>
    <col width="40" customWidth="1" style="10" min="9" max="9"/>
  </cols>
  <sheetData>
    <row r="1" ht="17.35" customHeight="1" s="11">
      <c r="A1" s="12" t="inlineStr">
        <is>
          <t>Registre des anomalies — JeDemenage</t>
        </is>
      </c>
      <c r="D1" s="18" t="inlineStr">
        <is>
          <t>Ouvertes :</t>
        </is>
      </c>
      <c r="E1" s="18">
        <f>COUNTA(A4:A200)-COUNTIF(G4:G200,"Fermé")-COUNTIF(G4:G200,"Rejeté")</f>
        <v/>
      </c>
      <c r="F1" s="18" t="inlineStr">
        <is>
          <t>Majeures ouvertes :</t>
        </is>
      </c>
      <c r="G1" s="18">
        <f>COUNTIFS(E4:E200,"Majeure",G4:G200,"&lt;&gt;Fermé",G4:G200,"&lt;&gt;Rejeté")</f>
        <v/>
      </c>
    </row>
    <row r="3" ht="15" customHeight="1" s="11">
      <c r="A3" s="14" t="inlineStr">
        <is>
          <t>ID</t>
        </is>
      </c>
      <c r="B3" s="14" t="inlineStr">
        <is>
          <t>Titre</t>
        </is>
      </c>
      <c r="C3" s="14" t="inlineStr">
        <is>
          <t>Cas de test</t>
        </is>
      </c>
      <c r="D3" s="14" t="inlineStr">
        <is>
          <t>Scénario(s)</t>
        </is>
      </c>
      <c r="E3" s="14" t="inlineStr">
        <is>
          <t>Sévérité</t>
        </is>
      </c>
      <c r="F3" s="14" t="inlineStr">
        <is>
          <t>Priorité</t>
        </is>
      </c>
      <c r="G3" s="14" t="inlineStr">
        <is>
          <t>Statut</t>
        </is>
      </c>
      <c r="H3" s="14" t="inlineStr">
        <is>
          <t>Date</t>
        </is>
      </c>
      <c r="I3" s="14" t="inlineStr">
        <is>
          <t>Détail (fichier)</t>
        </is>
      </c>
    </row>
    <row r="4" ht="23.85" customHeight="1" s="11">
      <c r="A4" s="15" t="inlineStr">
        <is>
          <t>ANO-001</t>
        </is>
      </c>
      <c r="B4" s="15" t="inlineStr">
        <is>
          <t>Inscription : un email avec une majuscule est refusé (« must be lowercase ») au lieu d'être mis en minuscules</t>
        </is>
      </c>
      <c r="C4" s="15" t="inlineStr">
        <is>
          <t>CT-02</t>
        </is>
      </c>
      <c r="D4" s="15" t="inlineStr">
        <is>
          <t>S09</t>
        </is>
      </c>
      <c r="E4" s="15" t="inlineStr">
        <is>
          <t>Mineure</t>
        </is>
      </c>
      <c r="F4" s="15" t="inlineStr">
        <is>
          <t>Moyenne</t>
        </is>
      </c>
      <c r="G4" s="16" t="inlineStr">
        <is>
          <t>Nouveau</t>
        </is>
      </c>
      <c r="H4" s="15" t="inlineStr">
        <is>
          <t>10/10/2026</t>
        </is>
      </c>
      <c r="I4" s="15" t="inlineStr">
        <is>
          <t>Détectée par Playwright (CT-02 S09) — à confirmer en manuel, puis détailler dans 01_Tests_Manuels\CT-02_Inscription\03_Anomalies.docx</t>
        </is>
      </c>
    </row>
    <row r="5" ht="23.85" customHeight="1" s="11">
      <c r="A5" s="15" t="inlineStr">
        <is>
          <t>ANO-002</t>
        </is>
      </c>
      <c r="B5" s="15" t="inlineStr">
        <is>
          <t>Les messages de confirmation (« posted successfully », « Mover booked »…) ne s'affichent jamais</t>
        </is>
      </c>
      <c r="C5" s="15" t="inlineStr">
        <is>
          <t>CT-04</t>
        </is>
      </c>
      <c r="D5" s="15" t="inlineStr">
        <is>
          <t>S10</t>
        </is>
      </c>
      <c r="E5" s="15" t="inlineStr">
        <is>
          <t>Mineure</t>
        </is>
      </c>
      <c r="F5" s="15" t="inlineStr">
        <is>
          <t>Basse</t>
        </is>
      </c>
      <c r="G5" s="16" t="inlineStr">
        <is>
          <t>Nouveau</t>
        </is>
      </c>
      <c r="H5" s="15" t="inlineStr">
        <is>
          <t>10/10/2026</t>
        </is>
      </c>
      <c r="I5" s="15" t="inlineStr">
        <is>
          <t>Détectée par Playwright (CT-04 S10) — à confirmer en manuel, puis détailler dans 01_Tests_Manuels\CT-04_Demande-demenagement\03_Anomalies.docx</t>
        </is>
      </c>
    </row>
    <row r="6" ht="35.05" customHeight="1" s="11">
      <c r="A6" s="15" t="inlineStr">
        <is>
          <t>ANO-003</t>
        </is>
      </c>
      <c r="B6" s="15" t="inlineStr">
        <is>
          <t>Une date de déménagement aujourd'hui, même à une heure passée, est acceptée</t>
        </is>
      </c>
      <c r="C6" s="15" t="inlineStr">
        <is>
          <t>CT-04</t>
        </is>
      </c>
      <c r="D6" s="15" t="inlineStr">
        <is>
          <t>S11</t>
        </is>
      </c>
      <c r="E6" s="15" t="inlineStr">
        <is>
          <t>Majeure</t>
        </is>
      </c>
      <c r="F6" s="15" t="inlineStr">
        <is>
          <t>Moyenne</t>
        </is>
      </c>
      <c r="G6" s="16" t="inlineStr">
        <is>
          <t>Nouveau</t>
        </is>
      </c>
      <c r="H6" s="15" t="inlineStr">
        <is>
          <t>10/10/2026</t>
        </is>
      </c>
      <c r="I6" s="15" t="inlineStr">
        <is>
          <t>Détectée par Playwright (CT-04 S11) — à confirmer en manuel, puis détailler dans 01_Tests_Manuels\CT-04_Demande-demenagement\03_Anomalies.docx</t>
        </is>
      </c>
    </row>
    <row r="7" ht="23.85" customHeight="1" s="11">
      <c r="A7" s="15" t="inlineStr">
        <is>
          <t>ANO-004</t>
        </is>
      </c>
      <c r="B7" s="15" t="inlineStr">
        <is>
          <t>Marketplace : « Posted » affiché sans date</t>
        </is>
      </c>
      <c r="C7" s="15" t="inlineStr">
        <is>
          <t>CT-05</t>
        </is>
      </c>
      <c r="D7" s="15" t="inlineStr">
        <is>
          <t>S02</t>
        </is>
      </c>
      <c r="E7" s="15" t="inlineStr">
        <is>
          <t>Mineure</t>
        </is>
      </c>
      <c r="F7" s="15" t="inlineStr">
        <is>
          <t>Basse</t>
        </is>
      </c>
      <c r="G7" s="16" t="inlineStr">
        <is>
          <t>Nouveau</t>
        </is>
      </c>
      <c r="H7" s="15" t="inlineStr">
        <is>
          <t>10/10/2026</t>
        </is>
      </c>
      <c r="I7" s="15" t="inlineStr">
        <is>
          <t>Détectée par Playwright (CT-05 S02) — à confirmer en manuel, puis détailler dans 01_Tests_Manuels\CT-05_Offres\03_Anomalies.docx</t>
        </is>
      </c>
    </row>
    <row r="8" ht="23.85" customHeight="1" s="11">
      <c r="A8" s="15" t="inlineStr">
        <is>
          <t>ANO-005</t>
        </is>
      </c>
      <c r="B8" s="15" t="inlineStr">
        <is>
          <t>Le serveur accepte une offre sur une demande déjà réservée</t>
        </is>
      </c>
      <c r="C8" s="15" t="inlineStr">
        <is>
          <t>CT-05</t>
        </is>
      </c>
      <c r="D8" s="15" t="inlineStr">
        <is>
          <t>S11</t>
        </is>
      </c>
      <c r="E8" s="15" t="inlineStr">
        <is>
          <t>Majeure</t>
        </is>
      </c>
      <c r="F8" s="15" t="inlineStr">
        <is>
          <t>Haute</t>
        </is>
      </c>
      <c r="G8" s="16" t="inlineStr">
        <is>
          <t>Nouveau</t>
        </is>
      </c>
      <c r="H8" s="15" t="inlineStr">
        <is>
          <t>10/10/2026</t>
        </is>
      </c>
      <c r="I8" s="15" t="inlineStr">
        <is>
          <t>Détectée par Playwright (CT-05 S11) — à confirmer en manuel, puis détailler dans 01_Tests_Manuels\CT-05_Offres\03_Anomalies.docx</t>
        </is>
      </c>
    </row>
    <row r="9" ht="23.85" customHeight="1" s="11">
      <c r="A9" s="15" t="inlineStr">
        <is>
          <t>ANO-006</t>
        </is>
      </c>
      <c r="B9" s="15" t="inlineStr">
        <is>
          <t>Suivi : « No mover assigned yet » même après réservation (erreur JavaScript « computed is not defined »)</t>
        </is>
      </c>
      <c r="C9" s="15" t="inlineStr">
        <is>
          <t>CT-06</t>
        </is>
      </c>
      <c r="D9" s="15" t="inlineStr">
        <is>
          <t>S01</t>
        </is>
      </c>
      <c r="E9" s="15" t="inlineStr">
        <is>
          <t>Majeure</t>
        </is>
      </c>
      <c r="F9" s="15" t="inlineStr">
        <is>
          <t>Moyenne</t>
        </is>
      </c>
      <c r="G9" s="16" t="inlineStr">
        <is>
          <t>Nouveau</t>
        </is>
      </c>
      <c r="H9" s="15" t="inlineStr">
        <is>
          <t>10/10/2026</t>
        </is>
      </c>
      <c r="I9" s="15" t="inlineStr">
        <is>
          <t>Détectée par Playwright (CT-06 S01) — à confirmer en manuel, puis détailler dans 01_Tests_Manuels\CT-06_Suivi-cloture-evaluation\03_Anomalies.docx</t>
        </is>
      </c>
    </row>
    <row r="10" ht="23.85" customHeight="1" s="11">
      <c r="A10" s="15" t="inlineStr">
        <is>
          <t>ANO-007</t>
        </is>
      </c>
      <c r="B10" s="15" t="inlineStr">
        <is>
          <t>Évaluation impossible : « Submit Professional Review » ne fait rien (route Ziggy requests.review.store inconnue)</t>
        </is>
      </c>
      <c r="C10" s="15" t="inlineStr">
        <is>
          <t>CT-06</t>
        </is>
      </c>
      <c r="D10" s="15" t="inlineStr">
        <is>
          <t>S05, S08</t>
        </is>
      </c>
      <c r="E10" s="15" t="inlineStr">
        <is>
          <t>Bloquante</t>
        </is>
      </c>
      <c r="F10" s="15" t="inlineStr">
        <is>
          <t>Haute</t>
        </is>
      </c>
      <c r="G10" s="16" t="inlineStr">
        <is>
          <t>Nouveau</t>
        </is>
      </c>
      <c r="H10" s="15" t="inlineStr">
        <is>
          <t>10/10/2026</t>
        </is>
      </c>
      <c r="I10" s="15" t="inlineStr">
        <is>
          <t>Détectée par Playwright (CT-06 S05, S08) — à confirmer en manuel, puis détailler dans 01_Tests_Manuels\CT-06_Suivi-cloture-evaluation\03_Anomalies.docx</t>
        </is>
      </c>
    </row>
    <row r="11" ht="23.85" customHeight="1" s="11">
      <c r="A11" s="15" t="inlineStr">
        <is>
          <t>ANO-008</t>
        </is>
      </c>
      <c r="B11" s="15" t="inlineStr">
        <is>
          <t>« Rate Your Mover » reste affiché après l'évaluation</t>
        </is>
      </c>
      <c r="C11" s="15" t="inlineStr">
        <is>
          <t>CT-06</t>
        </is>
      </c>
      <c r="D11" s="15" t="inlineStr">
        <is>
          <t>S06</t>
        </is>
      </c>
      <c r="E11" s="15" t="inlineStr">
        <is>
          <t>Mineure</t>
        </is>
      </c>
      <c r="F11" s="15" t="inlineStr">
        <is>
          <t>Moyenne</t>
        </is>
      </c>
      <c r="G11" s="16" t="inlineStr">
        <is>
          <t>Nouveau</t>
        </is>
      </c>
      <c r="H11" s="15" t="inlineStr">
        <is>
          <t>10/10/2026</t>
        </is>
      </c>
      <c r="I11" s="15" t="inlineStr">
        <is>
          <t>Détectée par Playwright (CT-06 S06) — à confirmer en manuel, puis détailler dans 01_Tests_Manuels\CT-06_Suivi-cloture-evaluation\03_Anomalies.docx</t>
        </is>
      </c>
    </row>
    <row r="12" ht="23.85" customHeight="1" s="11">
      <c r="A12" s="15" t="inlineStr">
        <is>
          <t>ANO-009</t>
        </is>
      </c>
      <c r="B12" s="15" t="inlineStr">
        <is>
          <t>Une 2e évaluation est acceptée pour le même déménagement</t>
        </is>
      </c>
      <c r="C12" s="15" t="inlineStr">
        <is>
          <t>CT-06</t>
        </is>
      </c>
      <c r="D12" s="15" t="inlineStr">
        <is>
          <t>S07</t>
        </is>
      </c>
      <c r="E12" s="15" t="inlineStr">
        <is>
          <t>Majeure</t>
        </is>
      </c>
      <c r="F12" s="15" t="inlineStr">
        <is>
          <t>Moyenne</t>
        </is>
      </c>
      <c r="G12" s="16" t="inlineStr">
        <is>
          <t>Nouveau</t>
        </is>
      </c>
      <c r="H12" s="15" t="inlineStr">
        <is>
          <t>10/10/2026</t>
        </is>
      </c>
      <c r="I12" s="15" t="inlineStr">
        <is>
          <t>Détectée par Playwright (CT-06 S07) — à confirmer en manuel, puis détailler dans 01_Tests_Manuels\CT-06_Suivi-cloture-evaluation\03_Anomalies.docx</t>
        </is>
      </c>
    </row>
    <row r="13" ht="23.85" customHeight="1" s="11">
      <c r="A13" s="15" t="inlineStr">
        <is>
          <t>ANO-010</t>
        </is>
      </c>
      <c r="B13" s="15" t="inlineStr">
        <is>
          <t>Le serveur accepte de terminer une demande « pending » (sans déménageur)</t>
        </is>
      </c>
      <c r="C13" s="15" t="inlineStr">
        <is>
          <t>CT-06</t>
        </is>
      </c>
      <c r="D13" s="15" t="inlineStr">
        <is>
          <t>S11</t>
        </is>
      </c>
      <c r="E13" s="15" t="inlineStr">
        <is>
          <t>Majeure</t>
        </is>
      </c>
      <c r="F13" s="15" t="inlineStr">
        <is>
          <t>Moyenne</t>
        </is>
      </c>
      <c r="G13" s="16" t="inlineStr">
        <is>
          <t>Nouveau</t>
        </is>
      </c>
      <c r="H13" s="15" t="inlineStr">
        <is>
          <t>10/10/2026</t>
        </is>
      </c>
      <c r="I13" s="15" t="inlineStr">
        <is>
          <t>Détectée par Playwright (CT-06 S11) — à confirmer en manuel, puis détailler dans 01_Tests_Manuels\CT-06_Suivi-cloture-evaluation\03_Anomalies.docx</t>
        </is>
      </c>
    </row>
    <row r="14" ht="23.85" customHeight="1" s="11">
      <c r="A14" s="15" t="inlineStr">
        <is>
          <t>ANO-011</t>
        </is>
      </c>
      <c r="B14" s="15" t="inlineStr">
        <is>
          <t>Une position GPS repasse un déménagement « completed » en « in-transit »</t>
        </is>
      </c>
      <c r="C14" s="15" t="inlineStr">
        <is>
          <t>CT-06</t>
        </is>
      </c>
      <c r="D14" s="15" t="inlineStr">
        <is>
          <t>S13</t>
        </is>
      </c>
      <c r="E14" s="15" t="inlineStr">
        <is>
          <t>Majeure</t>
        </is>
      </c>
      <c r="F14" s="15" t="inlineStr">
        <is>
          <t>Moyenne</t>
        </is>
      </c>
      <c r="G14" s="16" t="inlineStr">
        <is>
          <t>Nouveau</t>
        </is>
      </c>
      <c r="H14" s="15" t="inlineStr">
        <is>
          <t>10/10/2026</t>
        </is>
      </c>
      <c r="I14" s="15" t="inlineStr">
        <is>
          <t>Détectée par Playwright (CT-06 S13) — à confirmer en manuel, puis détailler dans 01_Tests_Manuels\CT-06_Suivi-cloture-evaluation\03_Anomalies.docx</t>
        </is>
      </c>
    </row>
    <row r="15" ht="23.85" customHeight="1" s="11">
      <c r="A15" s="15" t="inlineStr">
        <is>
          <t>ANO-012</t>
        </is>
      </c>
      <c r="B15" s="15" t="inlineStr">
        <is>
          <t>Un client peut noter le déménagement d'un AUTRE client (faux avis)</t>
        </is>
      </c>
      <c r="C15" s="15" t="inlineStr">
        <is>
          <t>CT-07</t>
        </is>
      </c>
      <c r="D15" s="15" t="inlineStr">
        <is>
          <t>S10</t>
        </is>
      </c>
      <c r="E15" s="15" t="inlineStr">
        <is>
          <t>Critique</t>
        </is>
      </c>
      <c r="F15" s="15" t="inlineStr">
        <is>
          <t>Haute</t>
        </is>
      </c>
      <c r="G15" s="16" t="inlineStr">
        <is>
          <t>Nouveau</t>
        </is>
      </c>
      <c r="H15" s="15" t="inlineStr">
        <is>
          <t>10/10/2026</t>
        </is>
      </c>
      <c r="I15" s="15" t="inlineStr">
        <is>
          <t>Détectée par Playwright (CT-07 S10) — à confirmer en manuel, puis détailler dans 01_Tests_Manuels\CT-07_Controle-acces\03_Anomalies.docx</t>
        </is>
      </c>
    </row>
    <row r="16" ht="23.85" customHeight="1" s="11">
      <c r="A16" s="15" t="inlineStr">
        <is>
          <t>ANO-013</t>
        </is>
      </c>
      <c r="B16" s="15" t="inlineStr">
        <is>
          <t>/demo/dashboard/client plante (page blanche)</t>
        </is>
      </c>
      <c r="C16" s="15" t="inlineStr">
        <is>
          <t>CT-07</t>
        </is>
      </c>
      <c r="D16" s="15" t="inlineStr">
        <is>
          <t>S11</t>
        </is>
      </c>
      <c r="E16" s="15" t="inlineStr">
        <is>
          <t>Mineure</t>
        </is>
      </c>
      <c r="F16" s="15" t="inlineStr">
        <is>
          <t>Basse</t>
        </is>
      </c>
      <c r="G16" s="16" t="inlineStr">
        <is>
          <t>Nouveau</t>
        </is>
      </c>
      <c r="H16" s="15" t="inlineStr">
        <is>
          <t>10/10/2026</t>
        </is>
      </c>
      <c r="I16" s="15" t="inlineStr">
        <is>
          <t>Détectée par Playwright (CT-07 S11) — à confirmer en manuel, puis détailler dans 01_Tests_Manuels\CT-07_Controle-acces\03_Anomalies.docx</t>
        </is>
      </c>
    </row>
    <row r="17" ht="23.85" customHeight="1" s="11">
      <c r="A17" s="15" t="n"/>
      <c r="B17" s="15" t="n"/>
      <c r="C17" s="15" t="n"/>
      <c r="D17" s="15" t="n"/>
      <c r="E17" s="15" t="n"/>
      <c r="F17" s="15" t="n"/>
      <c r="G17" s="16" t="n"/>
      <c r="H17" s="15" t="n"/>
      <c r="I17" s="15" t="n"/>
    </row>
    <row r="18" ht="23.85" customHeight="1" s="11">
      <c r="A18" s="15" t="n"/>
      <c r="B18" s="15" t="n"/>
      <c r="C18" s="15" t="n"/>
      <c r="D18" s="15" t="n"/>
      <c r="E18" s="15" t="n"/>
      <c r="F18" s="15" t="n"/>
      <c r="G18" s="16" t="n"/>
      <c r="H18" s="15" t="n"/>
      <c r="I18" s="15" t="n"/>
    </row>
  </sheetData>
  <conditionalFormatting sqref="E4:E200">
    <cfRule type="cellIs" rank="0" priority="2" equalAverage="0" operator="equal" aboveAverage="0" dxfId="0" text="" percent="0" bottom="0">
      <formula>"Majeure"</formula>
    </cfRule>
  </conditionalFormatting>
  <dataValidations count="2">
    <dataValidation sqref="G4:G200" showDropDown="0" showInputMessage="0" showErrorMessage="0" allowBlank="0" type="list" errorStyle="stop" operator="between">
      <formula1>"Nouveau,À reproduire,À confirmer,Ouvert,En correction,Corrigé,Re-testé,Fermé,Rejeté,Reporté,Réouvert"</formula1>
      <formula2>0</formula2>
    </dataValidation>
    <dataValidation sqref="E4:E200" showDropDown="0" showInputMessage="0" showErrorMessage="0" allowBlank="0" type="list" errorStyle="stop" operator="between">
      <formula1>"Bloquante,Critique,Majeure,Mineure"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2026-10-02T13:26:12Z</dcterms:created>
  <dcterms:modified xmlns:dcterms="http://purl.org/dc/terms/" xmlns:xsi="http://www.w3.org/2001/XMLSchema-instance" xsi:type="dcterms:W3CDTF">2026-10-10T11:57:11Z</dcterms:modified>
  <cp:revision>0</cp:revision>
</cp:coreProperties>
</file>